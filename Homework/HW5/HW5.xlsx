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Q1" state="visible" r:id="rId4"/>
    <sheet sheetId="2" name="Q4" state="visible" r:id="rId5"/>
  </sheets>
  <calcPr calcId="171027"/>
</workbook>
</file>

<file path=xl/sharedStrings.xml><?xml version="1.0" encoding="utf-8"?>
<sst xmlns="http://schemas.openxmlformats.org/spreadsheetml/2006/main" count="79" uniqueCount="31">
  <si>
    <t>variables</t>
  </si>
  <si>
    <t>x1</t>
  </si>
  <si>
    <t>x2</t>
  </si>
  <si>
    <t>e1</t>
  </si>
  <si>
    <t>a1</t>
  </si>
  <si>
    <t>a2</t>
  </si>
  <si>
    <t>rho</t>
  </si>
  <si>
    <t>ratio</t>
  </si>
  <si>
    <t>-z'</t>
  </si>
  <si>
    <t>M</t>
  </si>
  <si>
    <t>-4-4M</t>
  </si>
  <si>
    <t>-2+4M</t>
  </si>
  <si>
    <t>-6M</t>
  </si>
  <si>
    <t>-14/3+4M/3</t>
  </si>
  <si>
    <t>-4/3-1M/3</t>
  </si>
  <si>
    <t>4/3+4M/3</t>
  </si>
  <si>
    <t>16/3-2M/3</t>
  </si>
  <si>
    <t>-z' = [old row -z' + (4+4M)*new x1]</t>
  </si>
  <si>
    <t>4+M</t>
  </si>
  <si>
    <t>old +( 4/3+1M/3* new e1)</t>
  </si>
  <si>
    <t>The LP is unbounded, x2 can grow forever. Z = -inf</t>
  </si>
  <si>
    <t>x3</t>
  </si>
  <si>
    <t>s1</t>
  </si>
  <si>
    <t>s2</t>
  </si>
  <si>
    <t>s3</t>
  </si>
  <si>
    <t>z</t>
  </si>
  <si>
    <t>z row &gt;= 0</t>
  </si>
  <si>
    <t>x1 = 6</t>
  </si>
  <si>
    <t>x2=0</t>
  </si>
  <si>
    <t>x3=6</t>
  </si>
  <si>
    <t>z=-12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</si>
</sst>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sz val="11"/>
      <name val="Calibri"/>
    </font>
    <font>
      <color rgb="FF000000"/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00B050"/>
      </patternFill>
    </fill>
    <fill>
      <patternFill patternType="solid">
        <fgColor rgb="FFFFFF00"/>
      </patternFill>
    </fill>
    <fill>
      <patternFill patternType="solid">
        <fgColor rgb="FFFF0000"/>
      </patternFill>
    </fill>
    <fill>
      <patternFill patternType="solid">
        <fgColor rgb="FF0070C0"/>
      </patternFill>
    </fill>
  </fills>
  <borders count="2">
    <border>
      <left/>
      <right/>
      <top/>
      <bottom/>
      <diagonal/>
    </border>
    <border>
      <left/>
      <right/>
      <top style="medium">
        <color rgb="FF000000"/>
      </top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/>
    <xf numFmtId="0" fontId="1" fillId="0" borderId="0" xfId="0" applyFont="1"/>
    <xf numFmtId="0" fontId="1" fillId="2" borderId="0" xfId="0" applyFont="1" applyFill="1"/>
    <xf numFmtId="0" fontId="1" fillId="3" borderId="0" xfId="0" applyFont="1" applyFill="1"/>
    <xf numFmtId="0" fontId="1" fillId="4" borderId="0" xfId="0" applyFont="1" applyFill="1"/>
    <xf numFmtId="0" fontId="2" fillId="0" borderId="0" xfId="0" applyFont="1"/>
    <xf numFmtId="0" fontId="2" fillId="5" borderId="0" xfId="0" applyFont="1" applyFill="1"/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6"/>
  <sheetFormatPr defaultRowHeight="15" outlineLevelRow="0" outlineLevelCol="0" x14ac:dyDescent="55"/>
  <cols>
    <col min="1" max="24" width="13.571428571428571" customWidth="1"/>
  </cols>
  <sheetData>
    <row r="1" ht="23.25" customHeight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t="s">
        <v>4</v>
      </c>
      <c r="F1" t="s">
        <v>5</v>
      </c>
      <c r="G1" t="s">
        <v>6</v>
      </c>
      <c r="H1" t="s">
        <v>7</v>
      </c>
    </row>
    <row r="2" spans="1:7" x14ac:dyDescent="0.25">
      <c r="A2" s="2" t="s">
        <v>8</v>
      </c>
      <c r="B2">
        <v>-4</v>
      </c>
      <c r="C2">
        <v>-2</v>
      </c>
      <c r="D2">
        <v>0</v>
      </c>
      <c r="E2" t="s">
        <v>9</v>
      </c>
      <c r="F2" t="s">
        <v>9</v>
      </c>
      <c r="G2">
        <v>0</v>
      </c>
    </row>
    <row r="3" spans="1:7" x14ac:dyDescent="0.25">
      <c r="A3" t="s">
        <v>4</v>
      </c>
      <c r="B3">
        <v>3</v>
      </c>
      <c r="C3">
        <v>-2</v>
      </c>
      <c r="D3">
        <v>-1</v>
      </c>
      <c r="E3">
        <v>1</v>
      </c>
      <c r="F3">
        <v>0</v>
      </c>
      <c r="G3">
        <v>4</v>
      </c>
    </row>
    <row r="4" spans="1:7" x14ac:dyDescent="0.25">
      <c r="A4" t="s">
        <v>5</v>
      </c>
      <c r="B4">
        <v>1</v>
      </c>
      <c r="C4">
        <v>-2</v>
      </c>
      <c r="D4">
        <v>0</v>
      </c>
      <c r="E4">
        <v>0</v>
      </c>
      <c r="F4">
        <v>1</v>
      </c>
      <c r="G4">
        <v>2</v>
      </c>
    </row>
    <row r="6" spans="1:7" x14ac:dyDescent="0.25">
      <c r="A6" s="2" t="s">
        <v>8</v>
      </c>
      <c r="B6" s="3" t="s">
        <v>10</v>
      </c>
      <c r="C6" s="2" t="s">
        <v>11</v>
      </c>
      <c r="D6" t="s">
        <v>9</v>
      </c>
      <c r="E6">
        <v>0</v>
      </c>
      <c r="F6">
        <v>0</v>
      </c>
      <c r="G6" t="s">
        <v>12</v>
      </c>
    </row>
    <row r="7" spans="1:8" x14ac:dyDescent="0.25">
      <c r="A7" t="s">
        <v>4</v>
      </c>
      <c r="B7">
        <v>3</v>
      </c>
      <c r="C7">
        <v>-2</v>
      </c>
      <c r="D7">
        <v>-1</v>
      </c>
      <c r="E7">
        <v>1</v>
      </c>
      <c r="F7">
        <v>0</v>
      </c>
      <c r="G7">
        <v>4</v>
      </c>
      <c r="H7" s="4">
        <f>G7/B7</f>
      </c>
    </row>
    <row r="8" ht="15" customHeight="1" spans="1:8" x14ac:dyDescent="0.25">
      <c r="A8" t="s">
        <v>5</v>
      </c>
      <c r="B8">
        <v>1</v>
      </c>
      <c r="C8">
        <v>-2</v>
      </c>
      <c r="D8">
        <v>0</v>
      </c>
      <c r="E8">
        <v>0</v>
      </c>
      <c r="F8">
        <v>1</v>
      </c>
      <c r="G8">
        <v>2</v>
      </c>
      <c r="H8">
        <f>G8/B8</f>
      </c>
    </row>
    <row r="10" spans="1:9" x14ac:dyDescent="0.25">
      <c r="A10" s="2" t="s">
        <v>8</v>
      </c>
      <c r="B10">
        <v>0</v>
      </c>
      <c r="C10" s="2" t="s">
        <v>13</v>
      </c>
      <c r="D10" s="3" t="s">
        <v>14</v>
      </c>
      <c r="E10" t="s">
        <v>15</v>
      </c>
      <c r="F10">
        <v>0</v>
      </c>
      <c r="G10" t="s">
        <v>16</v>
      </c>
      <c r="H10" s="2"/>
      <c r="I10" s="2" t="s">
        <v>17</v>
      </c>
    </row>
    <row r="11" spans="1:8" x14ac:dyDescent="0.25">
      <c r="A11" t="s">
        <v>1</v>
      </c>
      <c r="B11">
        <f>B7/$B$7</f>
      </c>
      <c r="C11">
        <f>C7/$B$7</f>
      </c>
      <c r="D11">
        <f>D7/$B$7</f>
      </c>
      <c r="E11">
        <f>E7/$B$7</f>
      </c>
      <c r="F11">
        <f>F7/$B$7</f>
      </c>
      <c r="G11">
        <f>G7/$B$7</f>
      </c>
      <c r="H11">
        <f>G11/D11</f>
      </c>
    </row>
    <row r="12" spans="1:8" x14ac:dyDescent="0.25">
      <c r="A12" t="s">
        <v>5</v>
      </c>
      <c r="B12">
        <f>B8-B11/$B$8</f>
      </c>
      <c r="C12">
        <f>C8-C11/$B$8</f>
      </c>
      <c r="D12">
        <f>D8-D11/$B$8</f>
      </c>
      <c r="E12">
        <f>E8-E11/$B$8</f>
      </c>
      <c r="F12">
        <f>F8-F11/$B$8</f>
      </c>
      <c r="G12">
        <f>G8-G11/$B$8</f>
      </c>
      <c r="H12" s="4">
        <f>G12/D12</f>
      </c>
    </row>
    <row r="14" spans="1:9" x14ac:dyDescent="0.25">
      <c r="A14" s="2" t="s">
        <v>8</v>
      </c>
      <c r="B14">
        <v>0</v>
      </c>
      <c r="C14" s="3">
        <v>-10</v>
      </c>
      <c r="D14">
        <v>0</v>
      </c>
      <c r="E14" t="s">
        <v>9</v>
      </c>
      <c r="F14" t="s">
        <v>18</v>
      </c>
      <c r="G14" s="2">
        <v>8</v>
      </c>
      <c r="I14" t="s">
        <v>19</v>
      </c>
    </row>
    <row r="15" spans="1:8" x14ac:dyDescent="0.25">
      <c r="A15" t="s">
        <v>1</v>
      </c>
      <c r="B15">
        <f>B11-B16*$D$11</f>
      </c>
      <c r="C15">
        <f>C11-C16*$D$11</f>
      </c>
      <c r="D15">
        <f>D11-D16*$D$11</f>
      </c>
      <c r="E15">
        <f>E11-E16*$D$11</f>
      </c>
      <c r="F15">
        <f>F11-F16*$D$11</f>
      </c>
      <c r="G15">
        <f>G11-G16*$D$11</f>
      </c>
      <c r="H15" s="5">
        <f>G15/C15</f>
      </c>
    </row>
    <row r="16" spans="1:9" x14ac:dyDescent="0.25">
      <c r="A16" t="s">
        <v>3</v>
      </c>
      <c r="B16">
        <f>B12/$D$12</f>
      </c>
      <c r="C16">
        <f>C12/$D$12</f>
      </c>
      <c r="D16">
        <f>D12/$D$12</f>
      </c>
      <c r="E16">
        <f>E12/$D$12</f>
      </c>
      <c r="F16">
        <f>F12/$D$12</f>
      </c>
      <c r="G16">
        <f>G12/$D$12</f>
      </c>
      <c r="H16" s="5">
        <f>G16/C16</f>
      </c>
      <c r="I16" t="s">
        <v>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24" width="13.571428571428571" customWidth="1"/>
  </cols>
  <sheetData>
    <row r="1" ht="15" customHeight="1" spans="1:9" x14ac:dyDescent="0.25">
      <c r="A1" t="s">
        <v>0</v>
      </c>
      <c r="B1" t="s">
        <v>1</v>
      </c>
      <c r="C1" t="s">
        <v>2</v>
      </c>
      <c r="D1" t="s">
        <v>21</v>
      </c>
      <c r="E1" t="s">
        <v>22</v>
      </c>
      <c r="F1" t="s">
        <v>23</v>
      </c>
      <c r="G1" t="s">
        <v>24</v>
      </c>
      <c r="H1" t="s">
        <v>6</v>
      </c>
      <c r="I1" t="s">
        <v>7</v>
      </c>
    </row>
    <row r="2" spans="1:8" x14ac:dyDescent="0.25">
      <c r="A2" t="s">
        <v>25</v>
      </c>
      <c r="B2" s="4">
        <v>-1</v>
      </c>
      <c r="C2">
        <v>2</v>
      </c>
      <c r="D2" s="2">
        <v>-1</v>
      </c>
      <c r="E2">
        <v>0</v>
      </c>
      <c r="F2">
        <v>0</v>
      </c>
      <c r="G2">
        <v>0</v>
      </c>
      <c r="H2">
        <v>0</v>
      </c>
    </row>
    <row r="3" spans="1:9" x14ac:dyDescent="0.25">
      <c r="A3" t="s">
        <v>22</v>
      </c>
      <c r="B3">
        <v>1</v>
      </c>
      <c r="C3">
        <v>2</v>
      </c>
      <c r="D3">
        <v>1</v>
      </c>
      <c r="E3">
        <v>1</v>
      </c>
      <c r="F3">
        <v>0</v>
      </c>
      <c r="G3">
        <v>0</v>
      </c>
      <c r="H3">
        <v>12</v>
      </c>
      <c r="I3">
        <f>12</f>
      </c>
    </row>
    <row r="4" spans="1:9" x14ac:dyDescent="0.25">
      <c r="A4" t="s">
        <v>23</v>
      </c>
      <c r="B4">
        <v>2</v>
      </c>
      <c r="C4">
        <v>1</v>
      </c>
      <c r="D4">
        <v>-1</v>
      </c>
      <c r="E4">
        <v>0</v>
      </c>
      <c r="F4">
        <v>1</v>
      </c>
      <c r="G4">
        <v>0</v>
      </c>
      <c r="H4">
        <v>6</v>
      </c>
      <c r="I4" s="4">
        <f>3</f>
      </c>
    </row>
    <row r="5" spans="1:9" x14ac:dyDescent="0.25">
      <c r="A5" t="s">
        <v>24</v>
      </c>
      <c r="B5">
        <v>-1</v>
      </c>
      <c r="C5">
        <v>3</v>
      </c>
      <c r="D5">
        <v>0</v>
      </c>
      <c r="E5">
        <v>0</v>
      </c>
      <c r="F5">
        <v>0</v>
      </c>
      <c r="G5">
        <v>1</v>
      </c>
      <c r="H5">
        <v>9</v>
      </c>
      <c r="I5">
        <f>-9</f>
      </c>
    </row>
    <row r="7" spans="1:9" x14ac:dyDescent="0.25">
      <c r="A7" t="s">
        <v>0</v>
      </c>
      <c r="B7" t="s">
        <v>1</v>
      </c>
      <c r="C7" t="s">
        <v>2</v>
      </c>
      <c r="D7" t="s">
        <v>21</v>
      </c>
      <c r="E7" t="s">
        <v>22</v>
      </c>
      <c r="F7" t="s">
        <v>23</v>
      </c>
      <c r="G7" t="s">
        <v>24</v>
      </c>
      <c r="H7" t="s">
        <v>6</v>
      </c>
      <c r="I7" t="s">
        <v>7</v>
      </c>
    </row>
    <row r="8" ht="15" customHeight="1" spans="1:8" x14ac:dyDescent="0.25">
      <c r="A8" t="s">
        <v>25</v>
      </c>
      <c r="B8">
        <f>B2-B10*$B$2</f>
      </c>
      <c r="C8">
        <f>C2-C10*$B$2</f>
      </c>
      <c r="D8" s="4">
        <f>D2-D10*$B$2</f>
      </c>
      <c r="E8">
        <f>E2-E10*$B$2</f>
      </c>
      <c r="F8">
        <f>F2-F10*$B$2</f>
      </c>
      <c r="G8">
        <f>G2-G10*$B$2</f>
      </c>
      <c r="H8">
        <f>H2-H10*$B$2</f>
      </c>
    </row>
    <row r="9" spans="1:9" x14ac:dyDescent="0.25">
      <c r="A9" t="s">
        <v>22</v>
      </c>
      <c r="B9">
        <f>B3-B10*$B$3</f>
      </c>
      <c r="C9">
        <f>C3-C10*$B$3</f>
      </c>
      <c r="D9">
        <f>D3-D10*$B$3</f>
      </c>
      <c r="E9">
        <f>E3-E10*$B$3</f>
      </c>
      <c r="F9">
        <f>F3-F10*$B$3</f>
      </c>
      <c r="G9">
        <f>G3-G10*$B$3</f>
      </c>
      <c r="H9">
        <f>H3-H10*$B$3</f>
      </c>
      <c r="I9" s="4">
        <f>9/D9</f>
      </c>
    </row>
    <row r="10" spans="1:9" x14ac:dyDescent="0.25">
      <c r="A10" t="s">
        <v>1</v>
      </c>
      <c r="B10">
        <f>B4/$B$4</f>
      </c>
      <c r="C10">
        <f>C4/$B$4</f>
      </c>
      <c r="D10">
        <f>D4/$B$4</f>
      </c>
      <c r="E10">
        <f>E4/$B$4</f>
      </c>
      <c r="F10">
        <f>F4/$B$4</f>
      </c>
      <c r="G10">
        <f>G4/$B$4</f>
      </c>
      <c r="H10">
        <f>H4/$B$4</f>
      </c>
      <c r="I10">
        <f>H10/D10</f>
      </c>
    </row>
    <row r="11" spans="1:9" x14ac:dyDescent="0.25">
      <c r="A11" t="s">
        <v>24</v>
      </c>
      <c r="B11">
        <f>B5-B10*$B$5</f>
      </c>
      <c r="C11">
        <f>C5-C10*$B$5</f>
      </c>
      <c r="D11">
        <f>D5-D10*$B$5</f>
      </c>
      <c r="E11">
        <f>E5-E10*$B$5</f>
      </c>
      <c r="F11">
        <f>F5-F10*$B$5</f>
      </c>
      <c r="G11">
        <f>G5-G10*$B$5</f>
      </c>
      <c r="H11">
        <f>H5-H10*$B$5</f>
      </c>
      <c r="I11">
        <f>H11/D11</f>
      </c>
    </row>
    <row r="13" spans="1:9" x14ac:dyDescent="0.25">
      <c r="A13" t="s">
        <v>0</v>
      </c>
      <c r="B13" t="s">
        <v>1</v>
      </c>
      <c r="C13" t="s">
        <v>2</v>
      </c>
      <c r="D13" t="s">
        <v>21</v>
      </c>
      <c r="E13" t="s">
        <v>22</v>
      </c>
      <c r="F13" t="s">
        <v>23</v>
      </c>
      <c r="G13" t="s">
        <v>24</v>
      </c>
      <c r="H13" t="s">
        <v>6</v>
      </c>
      <c r="I13" t="s">
        <v>7</v>
      </c>
    </row>
    <row r="14" spans="1:8" x14ac:dyDescent="0.25">
      <c r="A14" t="s">
        <v>25</v>
      </c>
      <c r="B14" s="6">
        <f>B8-B15*$D$8</f>
      </c>
      <c r="C14" s="6">
        <f>C8-C15*$D$8</f>
      </c>
      <c r="D14" s="6">
        <f>D8-D15*$D$8</f>
      </c>
      <c r="E14" s="7">
        <f>E8-E15*$D$8</f>
      </c>
      <c r="F14" s="7">
        <f>F8-F15*$D$8</f>
      </c>
      <c r="G14" s="7">
        <f>G8-G15*$D$8</f>
      </c>
      <c r="H14" s="8">
        <f>H8-H15*$D$8</f>
      </c>
    </row>
    <row r="15" spans="1:8" x14ac:dyDescent="0.25">
      <c r="A15" t="s">
        <v>21</v>
      </c>
      <c r="B15">
        <f>B9/$D$9</f>
      </c>
      <c r="C15">
        <f>C9/$D$9</f>
      </c>
      <c r="D15">
        <f>D9/$D$9</f>
      </c>
      <c r="E15">
        <f>E9/$D$9</f>
      </c>
      <c r="F15">
        <f>F9/$D$9</f>
      </c>
      <c r="G15">
        <f>G9/$D$9</f>
      </c>
      <c r="H15" s="3">
        <f>H9/$D$9</f>
      </c>
    </row>
    <row r="16" spans="1:8" x14ac:dyDescent="0.25">
      <c r="A16" t="s">
        <v>1</v>
      </c>
      <c r="B16">
        <f>B10-B15*$D$10</f>
      </c>
      <c r="C16">
        <f>C10-C15*$D$10</f>
      </c>
      <c r="D16">
        <f>D10-D15*$D$10</f>
      </c>
      <c r="E16">
        <f>E10-E15*$D$10</f>
      </c>
      <c r="F16">
        <f>F10-F15*$D$10</f>
      </c>
      <c r="G16">
        <f>G10-G15*$D$10</f>
      </c>
      <c r="H16" s="3">
        <f>H10-H15*$D$10</f>
      </c>
    </row>
    <row r="17" spans="1:8" x14ac:dyDescent="0.25">
      <c r="A17" t="s">
        <v>24</v>
      </c>
      <c r="B17">
        <f>B11-B15*$D$11</f>
      </c>
      <c r="C17">
        <f>C11-C15*$D$11</f>
      </c>
      <c r="D17">
        <f>D11-D15*$D$11</f>
      </c>
      <c r="E17">
        <f>E11-E15*$D$11</f>
      </c>
      <c r="F17">
        <f>F11-F15*$D$11</f>
      </c>
      <c r="G17">
        <f>G11-G15*$D$11</f>
      </c>
      <c r="H17" s="3">
        <f>H11-H15*$D$11</f>
      </c>
    </row>
    <row r="19" spans="1:1" x14ac:dyDescent="0.25">
      <c r="A19" t="s">
        <v>26</v>
      </c>
    </row>
    <row r="20" spans="1:1" x14ac:dyDescent="0.25">
      <c r="A20" t="s">
        <v>27</v>
      </c>
    </row>
    <row r="21" spans="1:1" x14ac:dyDescent="0.25">
      <c r="A21" t="s">
        <v>28</v>
      </c>
    </row>
    <row r="22" spans="1:1" x14ac:dyDescent="0.25">
      <c r="A22" t="s">
        <v>29</v>
      </c>
    </row>
    <row r="23" spans="1:1" x14ac:dyDescent="0.25">
      <c r="A23" t="s">
        <v>30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Q1</vt:lpstr>
      <vt:lpstr>Q4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2026-10-19T20:00:05Z</dcterms:created>
  <dcterms:modified xsi:type="dcterms:W3CDTF">2026-10-19T20:00:05Z</dcterms:modified>
</cp:coreProperties>
</file>